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si\Downloads\"/>
    </mc:Choice>
  </mc:AlternateContent>
  <xr:revisionPtr revIDLastSave="0" documentId="13_ncr:1_{E2D3B01B-5815-4D78-98D4-CF6EEFE85A74}" xr6:coauthVersionLast="47" xr6:coauthVersionMax="47" xr10:uidLastSave="{00000000-0000-0000-0000-000000000000}"/>
  <bookViews>
    <workbookView xWindow="-108" yWindow="-108" windowWidth="23256" windowHeight="12456" tabRatio="0" xr2:uid="{44E94EEE-FE1B-4C40-9EDB-BD428D98018E}"/>
  </bookViews>
  <sheets>
    <sheet name="App" sheetId="1" r:id="rId1"/>
    <sheet name="Tab_apoio_chave_composta" sheetId="2" r:id="rId2"/>
  </sheets>
  <definedNames>
    <definedName name="aporte">App!$D$22</definedName>
    <definedName name="patrimonio">App!$D$25</definedName>
    <definedName name="qtd_anos">App!$D$23</definedName>
    <definedName name="rendimento_carteira">App!$D$18</definedName>
    <definedName name="salario">App!$D$17</definedName>
    <definedName name="sugestao_investimento">App!$D$19</definedName>
    <definedName name="taxa_mensal">App!$D$24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1" l="1"/>
  <c r="C44" i="1"/>
  <c r="C45" i="1"/>
  <c r="C46" i="1"/>
  <c r="C47" i="1"/>
  <c r="C42" i="1"/>
  <c r="A16" i="2" l="1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8" i="1"/>
  <c r="D25" i="1"/>
  <c r="D26" i="1" s="1"/>
  <c r="C31" i="1"/>
  <c r="D31" i="1" s="1"/>
  <c r="C32" i="1"/>
  <c r="D32" i="1" s="1"/>
  <c r="C33" i="1"/>
  <c r="D33" i="1" s="1"/>
  <c r="C34" i="1"/>
  <c r="D34" i="1" s="1"/>
  <c r="C30" i="1"/>
  <c r="D30" i="1" s="1"/>
  <c r="D19" i="1"/>
  <c r="C48" i="1" l="1"/>
  <c r="D42" i="1"/>
  <c r="D43" i="1"/>
  <c r="D47" i="1"/>
  <c r="D46" i="1"/>
  <c r="D45" i="1"/>
  <c r="D44" i="1"/>
  <c r="D48" i="1" l="1"/>
</calcChain>
</file>

<file path=xl/sharedStrings.xml><?xml version="1.0" encoding="utf-8"?>
<sst xmlns="http://schemas.openxmlformats.org/spreadsheetml/2006/main" count="69" uniqueCount="35">
  <si>
    <t>Taxa de rendimento mensal</t>
  </si>
  <si>
    <t>Dividendos mensais</t>
  </si>
  <si>
    <t>Qual valor investir por mês?</t>
  </si>
  <si>
    <t>Por quantos anos?</t>
  </si>
  <si>
    <t>Patrimônio a acumular</t>
  </si>
  <si>
    <t>Patrimônimo acumulado em 2 anos</t>
  </si>
  <si>
    <t>Patrimônimo acumulado em 5 anos</t>
  </si>
  <si>
    <t>Patrimônimo acumulado em 10 anos</t>
  </si>
  <si>
    <t>Patrimônimo acumulado em 20 anos</t>
  </si>
  <si>
    <t>Patrimônimo acumulado em 30 anos</t>
  </si>
  <si>
    <t>Salário</t>
  </si>
  <si>
    <t>Rendimento Carteira</t>
  </si>
  <si>
    <t>Perfil</t>
  </si>
  <si>
    <t>Agressivo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</si>
  <si>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</si>
  <si>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</si>
  <si>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</si>
  <si>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</si>
  <si>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</si>
  <si>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</si>
  <si>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</si>
  <si>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</si>
  <si>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</si>
  <si>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</si>
  <si>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</si>
  <si>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</si>
  <si>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PERFIL</t>
  </si>
  <si>
    <t>%</t>
  </si>
  <si>
    <t>CHAVE</t>
  </si>
  <si>
    <t>Sugestão de investimento (30%)</t>
  </si>
  <si>
    <t>CONFIGURAÇÕES</t>
  </si>
  <si>
    <t>INVESTIMENTO MENSAL</t>
  </si>
  <si>
    <t>CENÁRIOS</t>
  </si>
  <si>
    <t>DIVIDENDOS</t>
  </si>
  <si>
    <t>Tipo de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</si>
</sst>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rmo"/>
    </font>
    <font>
      <b/>
      <sz val="11"/>
      <color theme="1"/>
      <name val="Manrope SemiBold"/>
    </font>
    <font>
      <sz val="12"/>
      <color rgb="FFF7F5F0"/>
      <name val="Manrope Medium"/>
    </font>
    <font>
      <sz val="11"/>
      <color rgb="FFF7F5F0"/>
      <name val="Aptos Narrow"/>
      <family val="2"/>
      <scheme val="minor"/>
    </font>
    <font>
      <b/>
      <sz val="12"/>
      <color rgb="FFF7F5F0"/>
      <name val="Manrope Medium"/>
    </font>
    <font>
      <sz val="22"/>
      <color rgb="FFF7F5F0"/>
      <name val="Manrope Medium"/>
    </font>
    <font>
      <sz val="14"/>
      <color rgb="FFF7F5F0"/>
      <name val="Manrope Medium"/>
    </font>
    <font>
      <b/>
      <sz val="11"/>
      <color rgb="FFF7F5F0"/>
      <name val="IBM Plex Mono"/>
      <family val="3"/>
    </font>
    <font>
      <b/>
      <sz val="14"/>
      <color rgb="FFF7F5F0"/>
      <name val="Aptos Narrow"/>
      <family val="2"/>
      <scheme val="minor"/>
    </font>
    <font>
      <b/>
      <sz val="11"/>
      <color theme="9" tint="-0.249977111117893"/>
      <name val="IBM Plex Mono"/>
      <family val="3"/>
    </font>
    <font>
      <b/>
      <sz val="11"/>
      <color theme="9" tint="-0.499984740745262"/>
      <name val="Manrope SemiBold"/>
    </font>
    <font>
      <sz val="11"/>
      <color theme="9" tint="-0.499984740745262"/>
      <name val="Manrope"/>
    </font>
    <font>
      <sz val="11"/>
      <color theme="9" tint="-0.499984740745262"/>
      <name val="Aptos Narrow"/>
      <family val="2"/>
      <scheme val="minor"/>
    </font>
    <font>
      <sz val="11"/>
      <color theme="9" tint="-0.499984740745262"/>
      <name val="Manrope Medium"/>
    </font>
    <font>
      <sz val="11"/>
      <color theme="9" tint="-0.499984740745262"/>
      <name val="IBM Plex Mono Medm"/>
      <family val="3"/>
    </font>
    <font>
      <sz val="11"/>
      <color theme="9" tint="-0.499984740745262"/>
      <name val="IBM Plex Mono SmBld"/>
      <family val="3"/>
    </font>
    <font>
      <b/>
      <sz val="11"/>
      <color theme="9" tint="-0.499984740745262"/>
      <name val="IBM Plex Mono Light"/>
      <family val="3"/>
    </font>
  </fonts>
  <fills count="7">
    <fill>
      <patternFill patternType="none"/>
    </fill>
    <fill>
      <patternFill patternType="gray125"/>
    </fill>
    <fill>
      <patternFill patternType="solid">
        <fgColor rgb="FFF7F5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E7D5B"/>
        <bgColor indexed="64"/>
      </patternFill>
    </fill>
    <fill>
      <patternFill patternType="solid">
        <fgColor rgb="FFC9A227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/>
      <top style="medium">
        <color indexed="64"/>
      </top>
      <bottom style="thin">
        <color theme="2" tint="-9.9948118533890809E-2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medium">
        <color theme="2" tint="-0.24994659260841701"/>
      </right>
      <top style="medium">
        <color indexed="64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indexed="64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indexed="64"/>
      </right>
      <top style="medium">
        <color indexed="64"/>
      </top>
      <bottom style="medium">
        <color theme="2" tint="-0.24994659260841701"/>
      </bottom>
      <diagonal/>
    </border>
    <border>
      <left style="medium">
        <color indexed="64"/>
      </left>
      <right style="medium">
        <color theme="2" tint="-0.24994659260841701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indexed="64"/>
      </left>
      <right style="medium">
        <color theme="2" tint="-0.24994659260841701"/>
      </right>
      <top style="medium">
        <color theme="2" tint="-0.24994659260841701"/>
      </top>
      <bottom style="medium">
        <color indexed="64"/>
      </bottom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 style="medium">
        <color indexed="64"/>
      </bottom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medium">
        <color theme="2" tint="-0.24994659260841701"/>
      </left>
      <right style="medium">
        <color theme="2" tint="-0.24994659260841701"/>
      </right>
      <top style="medium">
        <color theme="2" tint="-0.24994659260841701"/>
      </top>
      <bottom/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/>
      <diagonal/>
    </border>
    <border>
      <left style="medium">
        <color indexed="64"/>
      </left>
      <right style="medium">
        <color theme="2" tint="-0.24994659260841701"/>
      </right>
      <top style="thick">
        <color indexed="64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theme="2" tint="-0.24994659260841701"/>
      </right>
      <top style="thick">
        <color indexed="64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indexed="64"/>
      </right>
      <top style="thick">
        <color indexed="64"/>
      </top>
      <bottom style="medium">
        <color theme="2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9" fontId="0" fillId="0" borderId="0" xfId="1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1" fontId="6" fillId="2" borderId="0" xfId="0" applyNumberFormat="1" applyFont="1" applyFill="1"/>
    <xf numFmtId="0" fontId="5" fillId="5" borderId="27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5" borderId="4" xfId="0" applyFont="1" applyFill="1" applyBorder="1"/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9" fontId="10" fillId="5" borderId="5" xfId="0" applyNumberFormat="1" applyFont="1" applyFill="1" applyBorder="1" applyAlignment="1">
      <alignment horizontal="center"/>
    </xf>
    <xf numFmtId="164" fontId="10" fillId="5" borderId="6" xfId="0" applyNumberFormat="1" applyFont="1" applyFill="1" applyBorder="1" applyAlignment="1">
      <alignment horizontal="center"/>
    </xf>
    <xf numFmtId="164" fontId="12" fillId="4" borderId="29" xfId="2" applyNumberFormat="1" applyFont="1" applyFill="1" applyBorder="1" applyAlignment="1">
      <alignment horizontal="center"/>
    </xf>
    <xf numFmtId="164" fontId="12" fillId="4" borderId="30" xfId="2" applyNumberFormat="1" applyFont="1" applyFill="1" applyBorder="1" applyAlignment="1">
      <alignment horizontal="center"/>
    </xf>
    <xf numFmtId="0" fontId="13" fillId="4" borderId="26" xfId="0" applyFont="1" applyFill="1" applyBorder="1"/>
    <xf numFmtId="0" fontId="14" fillId="3" borderId="16" xfId="0" applyFont="1" applyFill="1" applyBorder="1"/>
    <xf numFmtId="0" fontId="14" fillId="3" borderId="19" xfId="0" applyFont="1" applyFill="1" applyBorder="1"/>
    <xf numFmtId="0" fontId="14" fillId="3" borderId="22" xfId="0" applyFont="1" applyFill="1" applyBorder="1"/>
    <xf numFmtId="0" fontId="14" fillId="2" borderId="31" xfId="0" applyFont="1" applyFill="1" applyBorder="1"/>
    <xf numFmtId="0" fontId="14" fillId="2" borderId="32" xfId="0" applyFont="1" applyFill="1" applyBorder="1"/>
    <xf numFmtId="0" fontId="14" fillId="2" borderId="33" xfId="0" applyFont="1" applyFill="1" applyBorder="1"/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15" fillId="0" borderId="36" xfId="0" applyFont="1" applyBorder="1" applyAlignment="1">
      <alignment horizontal="left"/>
    </xf>
    <xf numFmtId="0" fontId="15" fillId="0" borderId="37" xfId="0" applyFont="1" applyBorder="1" applyAlignment="1">
      <alignment horizontal="center"/>
    </xf>
    <xf numFmtId="9" fontId="15" fillId="0" borderId="38" xfId="1" applyFont="1" applyBorder="1" applyAlignment="1">
      <alignment horizontal="center"/>
    </xf>
    <xf numFmtId="0" fontId="15" fillId="0" borderId="39" xfId="0" applyFont="1" applyBorder="1" applyAlignment="1">
      <alignment horizontal="left"/>
    </xf>
    <xf numFmtId="0" fontId="15" fillId="0" borderId="40" xfId="0" applyFont="1" applyBorder="1" applyAlignment="1">
      <alignment horizontal="center"/>
    </xf>
    <xf numFmtId="9" fontId="15" fillId="0" borderId="41" xfId="1" applyFont="1" applyBorder="1" applyAlignment="1">
      <alignment horizontal="center"/>
    </xf>
    <xf numFmtId="0" fontId="15" fillId="0" borderId="42" xfId="0" applyFont="1" applyBorder="1" applyAlignment="1">
      <alignment horizontal="left"/>
    </xf>
    <xf numFmtId="0" fontId="15" fillId="0" borderId="43" xfId="0" applyFont="1" applyBorder="1" applyAlignment="1">
      <alignment horizontal="center"/>
    </xf>
    <xf numFmtId="9" fontId="15" fillId="0" borderId="44" xfId="1" applyFont="1" applyBorder="1" applyAlignment="1">
      <alignment horizontal="center"/>
    </xf>
    <xf numFmtId="0" fontId="11" fillId="5" borderId="45" xfId="0" applyFont="1" applyFill="1" applyBorder="1"/>
    <xf numFmtId="0" fontId="11" fillId="5" borderId="46" xfId="0" applyFont="1" applyFill="1" applyBorder="1" applyAlignment="1">
      <alignment horizontal="center"/>
    </xf>
    <xf numFmtId="9" fontId="11" fillId="5" borderId="47" xfId="1" applyFont="1" applyFill="1" applyBorder="1" applyAlignment="1">
      <alignment horizontal="center"/>
    </xf>
    <xf numFmtId="0" fontId="15" fillId="0" borderId="48" xfId="0" applyFont="1" applyBorder="1" applyAlignment="1">
      <alignment horizontal="left"/>
    </xf>
    <xf numFmtId="0" fontId="15" fillId="0" borderId="49" xfId="0" applyFont="1" applyBorder="1" applyAlignment="1">
      <alignment horizontal="center"/>
    </xf>
    <xf numFmtId="9" fontId="15" fillId="0" borderId="50" xfId="1" applyFont="1" applyBorder="1" applyAlignment="1">
      <alignment horizontal="center"/>
    </xf>
    <xf numFmtId="0" fontId="15" fillId="0" borderId="51" xfId="0" applyFont="1" applyBorder="1" applyAlignment="1">
      <alignment horizontal="left"/>
    </xf>
    <xf numFmtId="0" fontId="15" fillId="0" borderId="52" xfId="0" applyFont="1" applyBorder="1" applyAlignment="1">
      <alignment horizontal="center"/>
    </xf>
    <xf numFmtId="9" fontId="15" fillId="0" borderId="53" xfId="1" applyFont="1" applyBorder="1" applyAlignment="1">
      <alignment horizontal="center"/>
    </xf>
    <xf numFmtId="0" fontId="14" fillId="3" borderId="10" xfId="0" applyFont="1" applyFill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4" xfId="0" applyFont="1" applyFill="1" applyBorder="1" applyAlignment="1">
      <alignment horizontal="left"/>
    </xf>
    <xf numFmtId="0" fontId="14" fillId="3" borderId="16" xfId="0" applyFont="1" applyFill="1" applyBorder="1" applyAlignment="1">
      <alignment horizontal="left"/>
    </xf>
    <xf numFmtId="0" fontId="14" fillId="3" borderId="17" xfId="0" applyFont="1" applyFill="1" applyBorder="1" applyAlignment="1">
      <alignment horizontal="left"/>
    </xf>
    <xf numFmtId="0" fontId="14" fillId="3" borderId="19" xfId="0" applyFont="1" applyFill="1" applyBorder="1" applyAlignment="1">
      <alignment horizontal="left"/>
    </xf>
    <xf numFmtId="0" fontId="14" fillId="3" borderId="20" xfId="0" applyFont="1" applyFill="1" applyBorder="1" applyAlignment="1">
      <alignment horizontal="left"/>
    </xf>
    <xf numFmtId="0" fontId="16" fillId="4" borderId="19" xfId="0" applyFont="1" applyFill="1" applyBorder="1" applyAlignment="1">
      <alignment horizontal="left"/>
    </xf>
    <xf numFmtId="0" fontId="16" fillId="4" borderId="20" xfId="0" applyFont="1" applyFill="1" applyBorder="1" applyAlignment="1">
      <alignment horizontal="left"/>
    </xf>
    <xf numFmtId="0" fontId="16" fillId="4" borderId="22" xfId="0" applyFont="1" applyFill="1" applyBorder="1" applyAlignment="1">
      <alignment horizontal="left"/>
    </xf>
    <xf numFmtId="0" fontId="16" fillId="4" borderId="23" xfId="0" applyFont="1" applyFill="1" applyBorder="1" applyAlignment="1">
      <alignment horizontal="left"/>
    </xf>
    <xf numFmtId="164" fontId="17" fillId="3" borderId="18" xfId="0" applyNumberFormat="1" applyFont="1" applyFill="1" applyBorder="1" applyAlignment="1">
      <alignment horizontal="center"/>
    </xf>
    <xf numFmtId="164" fontId="17" fillId="3" borderId="21" xfId="0" applyNumberFormat="1" applyFont="1" applyFill="1" applyBorder="1" applyAlignment="1">
      <alignment horizontal="center"/>
    </xf>
    <xf numFmtId="164" fontId="17" fillId="3" borderId="24" xfId="0" applyNumberFormat="1" applyFont="1" applyFill="1" applyBorder="1" applyAlignment="1">
      <alignment horizontal="center"/>
    </xf>
    <xf numFmtId="164" fontId="17" fillId="3" borderId="35" xfId="0" applyNumberFormat="1" applyFont="1" applyFill="1" applyBorder="1" applyAlignment="1">
      <alignment horizontal="center"/>
    </xf>
    <xf numFmtId="164" fontId="17" fillId="2" borderId="18" xfId="0" applyNumberFormat="1" applyFont="1" applyFill="1" applyBorder="1" applyAlignment="1">
      <alignment horizontal="center"/>
    </xf>
    <xf numFmtId="1" fontId="17" fillId="2" borderId="21" xfId="0" applyNumberFormat="1" applyFont="1" applyFill="1" applyBorder="1" applyAlignment="1">
      <alignment horizontal="center"/>
    </xf>
    <xf numFmtId="10" fontId="17" fillId="2" borderId="21" xfId="1" applyNumberFormat="1" applyFont="1" applyFill="1" applyBorder="1" applyAlignment="1">
      <alignment horizontal="center"/>
    </xf>
    <xf numFmtId="8" fontId="18" fillId="4" borderId="21" xfId="0" applyNumberFormat="1" applyFont="1" applyFill="1" applyBorder="1" applyAlignment="1">
      <alignment horizontal="center"/>
    </xf>
    <xf numFmtId="8" fontId="18" fillId="4" borderId="24" xfId="0" applyNumberFormat="1" applyFont="1" applyFill="1" applyBorder="1" applyAlignment="1">
      <alignment horizontal="center"/>
    </xf>
    <xf numFmtId="164" fontId="17" fillId="2" borderId="12" xfId="0" applyNumberFormat="1" applyFont="1" applyFill="1" applyBorder="1" applyAlignment="1">
      <alignment horizontal="center"/>
    </xf>
    <xf numFmtId="10" fontId="17" fillId="2" borderId="12" xfId="1" applyNumberFormat="1" applyFont="1" applyFill="1" applyBorder="1" applyAlignment="1">
      <alignment horizontal="center"/>
    </xf>
    <xf numFmtId="164" fontId="17" fillId="4" borderId="15" xfId="0" applyNumberFormat="1" applyFont="1" applyFill="1" applyBorder="1" applyAlignment="1">
      <alignment horizontal="center"/>
    </xf>
    <xf numFmtId="164" fontId="18" fillId="3" borderId="17" xfId="0" applyNumberFormat="1" applyFont="1" applyFill="1" applyBorder="1" applyAlignment="1">
      <alignment horizontal="center"/>
    </xf>
    <xf numFmtId="164" fontId="18" fillId="3" borderId="20" xfId="0" applyNumberFormat="1" applyFont="1" applyFill="1" applyBorder="1" applyAlignment="1">
      <alignment horizontal="center"/>
    </xf>
    <xf numFmtId="164" fontId="18" fillId="3" borderId="23" xfId="0" applyNumberFormat="1" applyFont="1" applyFill="1" applyBorder="1" applyAlignment="1">
      <alignment horizontal="center"/>
    </xf>
    <xf numFmtId="9" fontId="19" fillId="2" borderId="34" xfId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2E7D5B"/>
      <color rgb="FF292929"/>
      <color rgb="FFC9A227"/>
      <color rgb="FFF7F5F0"/>
      <color rgb="FF24133F"/>
      <color rgb="FFB19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0</xdr:row>
      <xdr:rowOff>30481</xdr:rowOff>
    </xdr:from>
    <xdr:to>
      <xdr:col>3</xdr:col>
      <xdr:colOff>1386840</xdr:colOff>
      <xdr:row>13</xdr:row>
      <xdr:rowOff>83821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9E32E1-ACAF-5692-2D75-24627BA50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30481"/>
          <a:ext cx="6926580" cy="2430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C915-5ECD-423A-AF65-8B267BA4F061}">
  <dimension ref="A15:F48"/>
  <sheetViews>
    <sheetView showGridLines="0" showRowColHeaders="0" tabSelected="1" workbookViewId="0">
      <selection activeCell="C38" sqref="C38:D3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/>
  <cols>
    <col min="1" max="1" width="8.88671875" style="3" customWidth="1"/>
    <col min="2" max="2" width="48.109375" style="3" customWidth="1"/>
    <col min="3" max="3" width="33.88671875" style="4" bestFit="1" customWidth="1"/>
    <col min="4" max="4" width="21.88671875" style="3" customWidth="1"/>
    <col min="5" max="5" width="8.6640625" style="3" customWidth="1"/>
    <col min="6" max="6" width="10.5546875" style="4" hidden="1" customWidth="1"/>
    <col min="7" max="11" width="8.88671875" style="3" hidden="1" customWidth="1"/>
    <col min="12" max="16384" width="8.88671875" style="3" hidden="1"/>
  </cols>
  <sheetData>
    <row r="15" spans="2:6" ht="15" thickBot="1"/>
    <row r="16" spans="2:6" ht="32.4" thickBot="1">
      <c r="B16" s="32" t="s">
        <v>30</v>
      </c>
      <c r="C16" s="33"/>
      <c r="D16" s="34"/>
      <c r="E16" s="2"/>
      <c r="F16" s="2"/>
    </row>
    <row r="17" spans="1:6" ht="16.2" thickBot="1">
      <c r="B17" s="53" t="s">
        <v>10</v>
      </c>
      <c r="C17" s="54"/>
      <c r="D17" s="74">
        <v>6784.77</v>
      </c>
    </row>
    <row r="18" spans="1:6" ht="16.2" thickBot="1">
      <c r="B18" s="53" t="s">
        <v>11</v>
      </c>
      <c r="C18" s="54"/>
      <c r="D18" s="75">
        <v>6.0000000000000001E-3</v>
      </c>
    </row>
    <row r="19" spans="1:6" ht="16.2" thickBot="1">
      <c r="B19" s="55" t="s">
        <v>29</v>
      </c>
      <c r="C19" s="56"/>
      <c r="D19" s="76">
        <f>D17*30%</f>
        <v>2035.431</v>
      </c>
    </row>
    <row r="20" spans="1:6" ht="15" thickBot="1"/>
    <row r="21" spans="1:6" ht="32.4" thickBot="1">
      <c r="B21" s="15" t="s">
        <v>31</v>
      </c>
      <c r="C21" s="16"/>
      <c r="D21" s="17"/>
    </row>
    <row r="22" spans="1:6" ht="15.6">
      <c r="B22" s="57" t="s">
        <v>2</v>
      </c>
      <c r="C22" s="58"/>
      <c r="D22" s="69">
        <v>1750</v>
      </c>
    </row>
    <row r="23" spans="1:6" ht="15.6">
      <c r="B23" s="59" t="s">
        <v>3</v>
      </c>
      <c r="C23" s="60"/>
      <c r="D23" s="70">
        <v>5</v>
      </c>
    </row>
    <row r="24" spans="1:6" ht="15.6">
      <c r="B24" s="59" t="s">
        <v>0</v>
      </c>
      <c r="C24" s="60"/>
      <c r="D24" s="71">
        <v>1.0789999999999999E-2</v>
      </c>
      <c r="F24" s="5"/>
    </row>
    <row r="25" spans="1:6" ht="15.6">
      <c r="B25" s="61" t="s">
        <v>4</v>
      </c>
      <c r="C25" s="62"/>
      <c r="D25" s="72">
        <f>FV(taxa_mensal,qtd_anos*12,aporte*-1)</f>
        <v>146609.59949735337</v>
      </c>
    </row>
    <row r="26" spans="1:6" ht="16.2" thickBot="1">
      <c r="B26" s="63" t="s">
        <v>1</v>
      </c>
      <c r="C26" s="64"/>
      <c r="D26" s="73">
        <f>patrimonio*rendimento_carteira</f>
        <v>879.65759698412023</v>
      </c>
    </row>
    <row r="28" spans="1:6" ht="16.2" thickBot="1">
      <c r="B28" s="6"/>
      <c r="C28" s="6"/>
      <c r="D28" s="6"/>
    </row>
    <row r="29" spans="1:6" ht="21">
      <c r="B29" s="18" t="s">
        <v>32</v>
      </c>
      <c r="C29" s="19"/>
      <c r="D29" s="20" t="s">
        <v>33</v>
      </c>
    </row>
    <row r="30" spans="1:6" ht="15.6">
      <c r="A30" s="7">
        <v>2</v>
      </c>
      <c r="B30" s="26" t="s">
        <v>5</v>
      </c>
      <c r="C30" s="77">
        <f>FV(taxa_mensal,$A30*12,aporte*-1)</f>
        <v>47648.347770879132</v>
      </c>
      <c r="D30" s="65">
        <f>C30*rendimento_carteira</f>
        <v>285.89008662527482</v>
      </c>
    </row>
    <row r="31" spans="1:6" ht="15.6">
      <c r="A31" s="7">
        <v>5</v>
      </c>
      <c r="B31" s="27" t="s">
        <v>6</v>
      </c>
      <c r="C31" s="78">
        <f>FV(taxa_mensal,$A31*12,aporte*-1)</f>
        <v>146609.59949735337</v>
      </c>
      <c r="D31" s="66">
        <f>C31*rendimento_carteira</f>
        <v>879.65759698412023</v>
      </c>
    </row>
    <row r="32" spans="1:6" ht="15.6">
      <c r="A32" s="7">
        <v>10</v>
      </c>
      <c r="B32" s="27" t="s">
        <v>7</v>
      </c>
      <c r="C32" s="78">
        <f>FV(taxa_mensal,$A32*12,aporte*-1)</f>
        <v>425747.37192780135</v>
      </c>
      <c r="D32" s="66">
        <f>C32*rendimento_carteira</f>
        <v>2554.4842315668079</v>
      </c>
    </row>
    <row r="33" spans="1:6" ht="15.6">
      <c r="A33" s="7">
        <v>20</v>
      </c>
      <c r="B33" s="27" t="s">
        <v>8</v>
      </c>
      <c r="C33" s="78">
        <f>FV(taxa_mensal,$A33*12,aporte*-1)</f>
        <v>1969097.2001698911</v>
      </c>
      <c r="D33" s="66">
        <f>C33*rendimento_carteira</f>
        <v>11814.583201019346</v>
      </c>
    </row>
    <row r="34" spans="1:6" ht="16.2" thickBot="1">
      <c r="A34" s="7">
        <v>30</v>
      </c>
      <c r="B34" s="28" t="s">
        <v>9</v>
      </c>
      <c r="C34" s="79">
        <f>FV(taxa_mensal,$A34*12,aporte*-1)</f>
        <v>7563796.8962582508</v>
      </c>
      <c r="D34" s="67">
        <f>C34*rendimento_carteira</f>
        <v>45382.781377549509</v>
      </c>
      <c r="F34" s="3"/>
    </row>
    <row r="36" spans="1:6" ht="15" thickBot="1"/>
    <row r="37" spans="1:6" ht="17.399999999999999">
      <c r="B37" s="10" t="s">
        <v>12</v>
      </c>
      <c r="C37" s="8" t="s">
        <v>15</v>
      </c>
      <c r="D37" s="9"/>
      <c r="F37" s="3"/>
    </row>
    <row r="38" spans="1:6" ht="16.2" thickBot="1">
      <c r="B38" s="25" t="s">
        <v>16</v>
      </c>
      <c r="C38" s="23">
        <f>aporte</f>
        <v>1750</v>
      </c>
      <c r="D38" s="24"/>
    </row>
    <row r="40" spans="1:6" ht="15" thickBot="1"/>
    <row r="41" spans="1:6" ht="17.399999999999999">
      <c r="B41" s="11" t="s">
        <v>34</v>
      </c>
      <c r="C41" s="12" t="s">
        <v>18</v>
      </c>
      <c r="D41" s="13" t="s">
        <v>19</v>
      </c>
    </row>
    <row r="42" spans="1:6" ht="15.6">
      <c r="B42" s="29" t="s">
        <v>20</v>
      </c>
      <c r="C42" s="80">
        <f>VLOOKUP($C$37&amp;"-"&amp;B42,Tab_apoio_chave_composta!$A:$D,4,FALSE)</f>
        <v>0.25</v>
      </c>
      <c r="D42" s="68">
        <f>$C$38*C42</f>
        <v>437.5</v>
      </c>
    </row>
    <row r="43" spans="1:6" ht="15.6">
      <c r="B43" s="30" t="s">
        <v>21</v>
      </c>
      <c r="C43" s="80">
        <f>VLOOKUP($C$37&amp;"-"&amp;B43,Tab_apoio_chave_composta!$A:$D,4,FALSE)</f>
        <v>0.5</v>
      </c>
      <c r="D43" s="68">
        <f>$C$38*C43</f>
        <v>875</v>
      </c>
    </row>
    <row r="44" spans="1:6" ht="15.6">
      <c r="B44" s="30" t="s">
        <v>22</v>
      </c>
      <c r="C44" s="80">
        <f>VLOOKUP($C$37&amp;"-"&amp;B44,Tab_apoio_chave_composta!$A:$D,4,FALSE)</f>
        <v>0.15</v>
      </c>
      <c r="D44" s="68">
        <f>$C$38*C44</f>
        <v>262.5</v>
      </c>
    </row>
    <row r="45" spans="1:6" ht="15.6">
      <c r="B45" s="30" t="s">
        <v>23</v>
      </c>
      <c r="C45" s="80">
        <f>VLOOKUP($C$37&amp;"-"&amp;B45,Tab_apoio_chave_composta!$A:$D,4,FALSE)</f>
        <v>0.06</v>
      </c>
      <c r="D45" s="68">
        <f>$C$38*C45</f>
        <v>105</v>
      </c>
    </row>
    <row r="46" spans="1:6" ht="15.6">
      <c r="B46" s="30" t="s">
        <v>24</v>
      </c>
      <c r="C46" s="80">
        <f>VLOOKUP($C$37&amp;"-"&amp;B46,Tab_apoio_chave_composta!$A:$D,4,FALSE)</f>
        <v>0.04</v>
      </c>
      <c r="D46" s="68">
        <f>$C$38*C46</f>
        <v>70</v>
      </c>
    </row>
    <row r="47" spans="1:6" ht="15.6">
      <c r="B47" s="31" t="s">
        <v>25</v>
      </c>
      <c r="C47" s="80">
        <f>VLOOKUP($C$37&amp;"-"&amp;B47,Tab_apoio_chave_composta!$A:$D,4,FALSE)</f>
        <v>0</v>
      </c>
      <c r="D47" s="68">
        <f>$C$38*C47</f>
        <v>0</v>
      </c>
    </row>
    <row r="48" spans="1:6" ht="15" thickBot="1">
      <c r="B48" s="14"/>
      <c r="C48" s="21">
        <f>SUM(C42:C47)</f>
        <v>1</v>
      </c>
      <c r="D48" s="22">
        <f>SUM(D42:D47)</f>
        <v>1750</v>
      </c>
    </row>
  </sheetData>
  <mergeCells count="13">
    <mergeCell ref="C37:D37"/>
    <mergeCell ref="C38:D38"/>
    <mergeCell ref="B29:C29"/>
    <mergeCell ref="B16:D16"/>
    <mergeCell ref="B21:D21"/>
    <mergeCell ref="B17:C17"/>
    <mergeCell ref="B18:C18"/>
    <mergeCell ref="B19:C19"/>
    <mergeCell ref="B22:C22"/>
    <mergeCell ref="B23:C23"/>
    <mergeCell ref="B24:C24"/>
    <mergeCell ref="B25:C25"/>
    <mergeCell ref="B26:C26"/>
  </mergeCells>
  <dataValidations count="1">
    <dataValidation type="list" allowBlank="1" showInputMessage="1" showErrorMessage="1" sqref="C37" xr:uid="{E04E6B38-4553-4193-BB4D-5630D9B70A7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2581-538E-4F4A-94DB-0645050EEE92}">
  <dimension ref="A1:D20"/>
  <sheetViews>
    <sheetView showGridLines="0" workbookViewId="0">
      <selection activeCell="D15" sqref="D15:D20"/>
    </sheetView>
  </sheetViews>
  <sheetFormatPr defaultRowHeight="14.4"/>
  <cols>
    <col min="1" max="1" width="28.77734375" bestFit="1" customWidth="1"/>
    <col min="2" max="2" width="11.21875" bestFit="1" customWidth="1"/>
    <col min="3" max="3" width="17.6640625" bestFit="1" customWidth="1"/>
    <col min="4" max="4" width="4.5546875" style="1" bestFit="1" customWidth="1"/>
  </cols>
  <sheetData>
    <row r="1" spans="1:4" ht="15" thickBot="1"/>
    <row r="2" spans="1:4" ht="18.600000000000001" thickBot="1">
      <c r="A2" s="44" t="s">
        <v>28</v>
      </c>
      <c r="B2" s="45" t="s">
        <v>26</v>
      </c>
      <c r="C2" s="45" t="s">
        <v>17</v>
      </c>
      <c r="D2" s="46" t="s">
        <v>27</v>
      </c>
    </row>
    <row r="3" spans="1:4" ht="15" thickBot="1">
      <c r="A3" s="35" t="str">
        <f>$B3&amp;"-"&amp;$C3</f>
        <v>Conservador-PAPEL</v>
      </c>
      <c r="B3" s="36" t="s">
        <v>15</v>
      </c>
      <c r="C3" s="36" t="s">
        <v>20</v>
      </c>
      <c r="D3" s="37">
        <v>0.25</v>
      </c>
    </row>
    <row r="4" spans="1:4" ht="15" thickBot="1">
      <c r="A4" s="38" t="str">
        <f t="shared" ref="A4:A8" si="0">$B4&amp;"-"&amp;$C4</f>
        <v>Conservador-TIJOLO</v>
      </c>
      <c r="B4" s="39" t="s">
        <v>15</v>
      </c>
      <c r="C4" s="39" t="s">
        <v>21</v>
      </c>
      <c r="D4" s="40">
        <v>0.5</v>
      </c>
    </row>
    <row r="5" spans="1:4" ht="15" thickBot="1">
      <c r="A5" s="38" t="str">
        <f t="shared" si="0"/>
        <v>Conservador-HÍBRIDO</v>
      </c>
      <c r="B5" s="39" t="s">
        <v>15</v>
      </c>
      <c r="C5" s="39" t="s">
        <v>22</v>
      </c>
      <c r="D5" s="40">
        <v>0.15</v>
      </c>
    </row>
    <row r="6" spans="1:4" ht="15" thickBot="1">
      <c r="A6" s="38" t="str">
        <f t="shared" si="0"/>
        <v>Conservador-FOFs</v>
      </c>
      <c r="B6" s="39" t="s">
        <v>15</v>
      </c>
      <c r="C6" s="39" t="s">
        <v>23</v>
      </c>
      <c r="D6" s="40">
        <v>0.06</v>
      </c>
    </row>
    <row r="7" spans="1:4" ht="15" thickBot="1">
      <c r="A7" s="38" t="str">
        <f t="shared" si="0"/>
        <v>Conservador-DESENVOLVIMENTO</v>
      </c>
      <c r="B7" s="39" t="s">
        <v>15</v>
      </c>
      <c r="C7" s="39" t="s">
        <v>24</v>
      </c>
      <c r="D7" s="40">
        <v>0.04</v>
      </c>
    </row>
    <row r="8" spans="1:4" ht="15" thickBot="1">
      <c r="A8" s="47" t="str">
        <f t="shared" si="0"/>
        <v>Conservador-HOTELARIAS</v>
      </c>
      <c r="B8" s="48" t="s">
        <v>15</v>
      </c>
      <c r="C8" s="48" t="s">
        <v>25</v>
      </c>
      <c r="D8" s="49">
        <v>0</v>
      </c>
    </row>
    <row r="9" spans="1:4" ht="15.6" thickTop="1" thickBot="1">
      <c r="A9" s="50" t="str">
        <f>$B9&amp;"-"&amp;$C9</f>
        <v>Moderado-PAPEL</v>
      </c>
      <c r="B9" s="51" t="s">
        <v>14</v>
      </c>
      <c r="C9" s="51" t="s">
        <v>20</v>
      </c>
      <c r="D9" s="52">
        <v>0.32</v>
      </c>
    </row>
    <row r="10" spans="1:4" ht="15" thickBot="1">
      <c r="A10" s="38" t="str">
        <f t="shared" ref="A10:A14" si="1">$B10&amp;"-"&amp;$C10</f>
        <v>Moderado-TIJOLO</v>
      </c>
      <c r="B10" s="39" t="s">
        <v>14</v>
      </c>
      <c r="C10" s="39" t="s">
        <v>21</v>
      </c>
      <c r="D10" s="40">
        <v>0.3</v>
      </c>
    </row>
    <row r="11" spans="1:4" ht="15" thickBot="1">
      <c r="A11" s="38" t="str">
        <f t="shared" si="1"/>
        <v>Moderado-HÍBRIDO</v>
      </c>
      <c r="B11" s="39" t="s">
        <v>14</v>
      </c>
      <c r="C11" s="39" t="s">
        <v>22</v>
      </c>
      <c r="D11" s="40">
        <v>0.08</v>
      </c>
    </row>
    <row r="12" spans="1:4" ht="15" thickBot="1">
      <c r="A12" s="38" t="str">
        <f t="shared" si="1"/>
        <v>Moderado-FOFs</v>
      </c>
      <c r="B12" s="39" t="s">
        <v>14</v>
      </c>
      <c r="C12" s="39" t="s">
        <v>23</v>
      </c>
      <c r="D12" s="40">
        <v>0.15</v>
      </c>
    </row>
    <row r="13" spans="1:4" ht="15" thickBot="1">
      <c r="A13" s="38" t="str">
        <f t="shared" si="1"/>
        <v>Moderado-DESENVOLVIMENTO</v>
      </c>
      <c r="B13" s="39" t="s">
        <v>14</v>
      </c>
      <c r="C13" s="39" t="s">
        <v>24</v>
      </c>
      <c r="D13" s="40">
        <v>0.1</v>
      </c>
    </row>
    <row r="14" spans="1:4" ht="15" thickBot="1">
      <c r="A14" s="47" t="str">
        <f t="shared" si="1"/>
        <v>Moderado-HOTELARIAS</v>
      </c>
      <c r="B14" s="48" t="s">
        <v>14</v>
      </c>
      <c r="C14" s="48" t="s">
        <v>25</v>
      </c>
      <c r="D14" s="49">
        <v>0.05</v>
      </c>
    </row>
    <row r="15" spans="1:4" ht="15.6" thickTop="1" thickBot="1">
      <c r="A15" s="50" t="str">
        <f>$B15&amp;"-"&amp;$C15</f>
        <v>Agressivo-PAPEL</v>
      </c>
      <c r="B15" s="51" t="s">
        <v>13</v>
      </c>
      <c r="C15" s="51" t="s">
        <v>20</v>
      </c>
      <c r="D15" s="52">
        <v>0.55000000000000004</v>
      </c>
    </row>
    <row r="16" spans="1:4" ht="15" thickBot="1">
      <c r="A16" s="38" t="str">
        <f t="shared" ref="A16:A20" si="2">$B16&amp;"-"&amp;$C16</f>
        <v>Agressivo-TIJOLO</v>
      </c>
      <c r="B16" s="39" t="s">
        <v>13</v>
      </c>
      <c r="C16" s="39" t="s">
        <v>21</v>
      </c>
      <c r="D16" s="40">
        <v>0.1</v>
      </c>
    </row>
    <row r="17" spans="1:4" ht="15" thickBot="1">
      <c r="A17" s="38" t="str">
        <f t="shared" si="2"/>
        <v>Agressivo-HÍBRIDO</v>
      </c>
      <c r="B17" s="39" t="s">
        <v>13</v>
      </c>
      <c r="C17" s="39" t="s">
        <v>22</v>
      </c>
      <c r="D17" s="40">
        <v>0.05</v>
      </c>
    </row>
    <row r="18" spans="1:4" ht="15" thickBot="1">
      <c r="A18" s="38" t="str">
        <f t="shared" si="2"/>
        <v>Agressivo-FOFs</v>
      </c>
      <c r="B18" s="39" t="s">
        <v>13</v>
      </c>
      <c r="C18" s="39" t="s">
        <v>23</v>
      </c>
      <c r="D18" s="40">
        <v>0.05</v>
      </c>
    </row>
    <row r="19" spans="1:4" ht="15" thickBot="1">
      <c r="A19" s="38" t="str">
        <f t="shared" si="2"/>
        <v>Agressivo-DESENVOLVIMENTO</v>
      </c>
      <c r="B19" s="39" t="s">
        <v>13</v>
      </c>
      <c r="C19" s="39" t="s">
        <v>24</v>
      </c>
      <c r="D19" s="40">
        <v>0.15</v>
      </c>
    </row>
    <row r="20" spans="1:4" ht="15" thickBot="1">
      <c r="A20" s="41" t="str">
        <f t="shared" si="2"/>
        <v>Agressivo-HOTELARIAS</v>
      </c>
      <c r="B20" s="42" t="s">
        <v>13</v>
      </c>
      <c r="C20" s="42" t="s">
        <v>25</v>
      </c>
      <c r="D20" s="4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Tab_apoio_chave_composta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Messias Cruz</dc:creator>
  <cp:lastModifiedBy>Messias Cruz</cp:lastModifiedBy>
  <dcterms:created xsi:type="dcterms:W3CDTF">2026-10-04T16:42:20Z</dcterms:created>
  <dcterms:modified xsi:type="dcterms:W3CDTF">2026-10-05T12:56:33Z</dcterms:modified>
</cp:coreProperties>
</file>